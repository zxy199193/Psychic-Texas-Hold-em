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 Project\Psychic-Texas-Hold-em\Assets\Document\"/>
    </mc:Choice>
  </mc:AlternateContent>
  <bookViews>
    <workbookView windowWidth="19200" windowHeight="177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<sst xmlns="http://schemas.openxmlformats.org/spreadsheetml/2006/main" count="258" uniqueCount="213">
  <si>
    <t>No</t>
  </si>
  <si>
    <t>技能名称</t>
  </si>
  <si>
    <t>技能名称EN</t>
  </si>
  <si>
    <t>能量消耗</t>
  </si>
  <si>
    <t>施法时间</t>
  </si>
  <si>
    <t>技能效果</t>
  </si>
  <si>
    <t>参数1</t>
  </si>
  <si>
    <t>参数数值</t>
  </si>
  <si>
    <t>参数2</t>
  </si>
  <si>
    <t>价格</t>
  </si>
  <si>
    <t>抵抗</t>
  </si>
  <si>
    <t>Resist</t>
  </si>
  <si>
    <t>X</t>
  </si>
  <si>
    <t>其他玩家向你发动技能时进行提示，发动完成之前消耗同等能量使其发动失败</t>
  </si>
  <si>
    <t>感应</t>
  </si>
  <si>
    <t>Sense</t>
  </si>
  <si>
    <t>发动后这局游戏可以查看其他玩家的能量，且当其他玩家发动技能时进行提示</t>
  </si>
  <si>
    <t>透视</t>
  </si>
  <si>
    <t>Peek</t>
  </si>
  <si>
    <t>选择一张对手底牌或公牌发动，这张牌显示3秒</t>
  </si>
  <si>
    <t>显示时间</t>
  </si>
  <si>
    <t>变牌</t>
  </si>
  <si>
    <t>Change</t>
  </si>
  <si>
    <t>选择场上玩家一张底牌发动，将这张牌替换为剩余牌库中的某张牌</t>
  </si>
  <si>
    <t>模糊</t>
  </si>
  <si>
    <t>Blur</t>
  </si>
  <si>
    <t>选择一名玩家发动，该玩家这局游戏无法看清手牌和公牌</t>
  </si>
  <si>
    <t>干扰</t>
  </si>
  <si>
    <t>Interfere</t>
  </si>
  <si>
    <t>选择一名玩家发动，该玩家这局游戏发动技能有35%概率失败，可叠加</t>
  </si>
  <si>
    <t>失败概率</t>
  </si>
  <si>
    <t>颠倒</t>
  </si>
  <si>
    <t>Upsidedown</t>
  </si>
  <si>
    <t>选择一名玩家发动，该玩家这局游戏画面颠倒</t>
  </si>
  <si>
    <t>迟钝</t>
  </si>
  <si>
    <t>Slow</t>
  </si>
  <si>
    <t>选择一名玩家发动，该玩家这局游戏所有技能的发动时间x2</t>
  </si>
  <si>
    <t>发动时间倍率</t>
  </si>
  <si>
    <t>枷锁</t>
  </si>
  <si>
    <t>Chain</t>
  </si>
  <si>
    <t>选择一名玩家发动，该玩家这局游戏只能再使用3次技能</t>
  </si>
  <si>
    <t>使用次数限制</t>
  </si>
  <si>
    <t>共鸣</t>
  </si>
  <si>
    <t>Resonance</t>
  </si>
  <si>
    <t>如果场上其他玩家有和你同类的牌型，这些牌会进行闪烁</t>
  </si>
  <si>
    <t>援助</t>
  </si>
  <si>
    <t>Help</t>
  </si>
  <si>
    <t>选择一名玩家发动，恢复其3点能量</t>
  </si>
  <si>
    <t>能量恢复</t>
  </si>
  <si>
    <t>封印</t>
  </si>
  <si>
    <t>Seal</t>
  </si>
  <si>
    <t>选择场上玩家一张底牌发动，这张牌被遮挡，且免疫[透视]、[变牌]、[交换]</t>
  </si>
  <si>
    <t>灵机</t>
  </si>
  <si>
    <t>Idea</t>
  </si>
  <si>
    <t>发动后这局游戏该技能会随机变成其他任意技能</t>
  </si>
  <si>
    <t>透支</t>
  </si>
  <si>
    <t>Overdraw</t>
  </si>
  <si>
    <t>能量恢复至最大，但接下来三局无法使用任何技能</t>
  </si>
  <si>
    <t>技能禁用时间</t>
  </si>
  <si>
    <t>交换</t>
  </si>
  <si>
    <t>Swap</t>
  </si>
  <si>
    <t>选择场上任意2张牌发动，将这2张牌进行调换</t>
  </si>
  <si>
    <t>许愿</t>
  </si>
  <si>
    <t>Wish</t>
  </si>
  <si>
    <t>发动后下一局游戏的2张底牌必定是JQKA</t>
  </si>
  <si>
    <t>重力场</t>
  </si>
  <si>
    <t>Gravity</t>
  </si>
  <si>
    <t>这局游戏场上能量最高的玩家所有技能能量消耗+2</t>
  </si>
  <si>
    <t>戏法空间</t>
  </si>
  <si>
    <t>Zone</t>
  </si>
  <si>
    <t>这局游戏场上所有玩家所有技能的能量消耗随机增加或降低0~2点</t>
  </si>
  <si>
    <t>反射壁</t>
  </si>
  <si>
    <t>Reflect</t>
  </si>
  <si>
    <t>发动后这局游戏受到其他玩家的技能时，技能会被反弹给其他任意一名玩家</t>
  </si>
  <si>
    <t>精神控制</t>
  </si>
  <si>
    <t>Control</t>
  </si>
  <si>
    <t>选择一名玩家发动，该玩家这局游戏无法弃牌</t>
  </si>
  <si>
    <t>道具名称</t>
  </si>
  <si>
    <t>道具效果</t>
  </si>
  <si>
    <t>项链</t>
  </si>
  <si>
    <t>Necklace</t>
  </si>
  <si>
    <t>能量上限+5</t>
  </si>
  <si>
    <t>能量上限</t>
  </si>
  <si>
    <t>烟斗</t>
  </si>
  <si>
    <t>Pipe</t>
  </si>
  <si>
    <t>能量恢复+1</t>
  </si>
  <si>
    <t>奖牌</t>
  </si>
  <si>
    <t>Medal</t>
  </si>
  <si>
    <t>能量恢复-1，获胜则下轮游戏能量上限+3，并恢复全部能量</t>
  </si>
  <si>
    <t>怀表</t>
  </si>
  <si>
    <t>Watch</t>
  </si>
  <si>
    <t>所有技能发动时间-70%</t>
  </si>
  <si>
    <t>发动时间</t>
  </si>
  <si>
    <t>啤酒</t>
  </si>
  <si>
    <t>Beer</t>
  </si>
  <si>
    <t>每次加注恢复1点能量</t>
  </si>
  <si>
    <t>磁线圈</t>
  </si>
  <si>
    <t>Coil</t>
  </si>
  <si>
    <t>能量上限-6，能量恢复-2，每当其他玩家成功发动技能，恢复1点能量</t>
  </si>
  <si>
    <t>兽爪</t>
  </si>
  <si>
    <t>Claw</t>
  </si>
  <si>
    <t>如果只选择了2个技能，对方抵抗这两个技能需要额外消耗1点能量</t>
  </si>
  <si>
    <t>抵抗能量消耗</t>
  </si>
  <si>
    <t>斗篷</t>
  </si>
  <si>
    <t>Cloak</t>
  </si>
  <si>
    <t>[抵抗]能量消耗-1</t>
  </si>
  <si>
    <t>天线</t>
  </si>
  <si>
    <t>Antenna</t>
  </si>
  <si>
    <t>[感应]不消耗能量且显示玩家饰品</t>
  </si>
  <si>
    <t>帽子</t>
  </si>
  <si>
    <t>Hat</t>
  </si>
  <si>
    <t>发动技能时不会被[感应]效果感知</t>
  </si>
  <si>
    <t>镜片</t>
  </si>
  <si>
    <t>Glass</t>
  </si>
  <si>
    <t>[透视]将会额外随机显示场上一张牌</t>
  </si>
  <si>
    <t>眼药</t>
  </si>
  <si>
    <t>Eyedrop</t>
  </si>
  <si>
    <t>[透视]显示时间提升至60秒</t>
  </si>
  <si>
    <t>戒指</t>
  </si>
  <si>
    <t>Ring</t>
  </si>
  <si>
    <t>[变牌]和[交换]可以对公牌使用</t>
  </si>
  <si>
    <t>音叉</t>
  </si>
  <si>
    <t>Fork</t>
  </si>
  <si>
    <t>[干扰]的技能效果+25%</t>
  </si>
  <si>
    <t>失败概率提升</t>
  </si>
  <si>
    <t>香薰</t>
  </si>
  <si>
    <t>Aroma</t>
  </si>
  <si>
    <t>[迟钝]的技能效果改为x3</t>
  </si>
  <si>
    <t>仙女棒</t>
  </si>
  <si>
    <t>Wand</t>
  </si>
  <si>
    <t>第一次使用[灵机]变化的技能时量消耗-2</t>
  </si>
  <si>
    <t>可乐</t>
  </si>
  <si>
    <t>Cola</t>
  </si>
  <si>
    <t>[透支]的技能禁用时间减为2局</t>
  </si>
  <si>
    <t>神像</t>
  </si>
  <si>
    <t>Statue</t>
  </si>
  <si>
    <t>[许愿]获得的牌必定是QKA（和魔像互斥)</t>
  </si>
  <si>
    <t>魔像</t>
  </si>
  <si>
    <t>Golem</t>
  </si>
  <si>
    <t>[许愿]获得的牌必定能凑成三条，但该局无法加注（和神像互斥)</t>
  </si>
  <si>
    <t>袖章</t>
  </si>
  <si>
    <t>Armband</t>
  </si>
  <si>
    <t>当玩家为场上亏损最高时，所有技能能量消耗-2（最低为1）</t>
  </si>
  <si>
    <t>筹码</t>
  </si>
  <si>
    <t>钻石</t>
  </si>
  <si>
    <t>折扣后</t>
  </si>
  <si>
    <t>美元</t>
  </si>
  <si>
    <t>Pack</t>
  </si>
  <si>
    <t>全部技能+饰品+1200钻石</t>
  </si>
  <si>
    <t>永久每日钻石奖励200</t>
  </si>
  <si>
    <t>技能</t>
  </si>
  <si>
    <t>风格</t>
  </si>
  <si>
    <t>目标</t>
  </si>
  <si>
    <t>道具</t>
  </si>
  <si>
    <t>强势</t>
  </si>
  <si>
    <t>头家</t>
  </si>
  <si>
    <t>捣乱</t>
  </si>
  <si>
    <t>随机</t>
  </si>
  <si>
    <t>保守</t>
  </si>
  <si>
    <t>标题</t>
  </si>
  <si>
    <t>成就</t>
  </si>
  <si>
    <t>奖励</t>
  </si>
  <si>
    <t>久经沙场1</t>
  </si>
  <si>
    <t>进行1场牌局</t>
  </si>
  <si>
    <t>久经沙场2</t>
  </si>
  <si>
    <t>进行10场牌局</t>
  </si>
  <si>
    <t>久经沙场3</t>
  </si>
  <si>
    <t>进行30场牌局</t>
  </si>
  <si>
    <t>久经沙场4</t>
  </si>
  <si>
    <t>进行100场牌局</t>
  </si>
  <si>
    <t>久经沙场5</t>
  </si>
  <si>
    <t>进行300场牌局</t>
  </si>
  <si>
    <t>久经沙场6</t>
  </si>
  <si>
    <t>进行500场牌局</t>
  </si>
  <si>
    <t>超能大师1</t>
  </si>
  <si>
    <t>使用1次技能</t>
  </si>
  <si>
    <t>超能大师2</t>
  </si>
  <si>
    <t>使用10次技能</t>
  </si>
  <si>
    <t>超能大师3</t>
  </si>
  <si>
    <t>使用30次技能</t>
  </si>
  <si>
    <t>超能大师4</t>
  </si>
  <si>
    <t>使用100次技能</t>
  </si>
  <si>
    <t>超能大师5</t>
  </si>
  <si>
    <t>使用300次技能</t>
  </si>
  <si>
    <t>超能大师6</t>
  </si>
  <si>
    <t>使用500次技能</t>
  </si>
  <si>
    <t>攀登高峰1</t>
  </si>
  <si>
    <t>累计赢得100筹码</t>
  </si>
  <si>
    <t>攀登高峰2</t>
  </si>
  <si>
    <t>累计赢得500筹码</t>
  </si>
  <si>
    <t>攀登高峰3</t>
  </si>
  <si>
    <t>累计赢得2000筹码</t>
  </si>
  <si>
    <t>攀登高峰4</t>
  </si>
  <si>
    <t>累计赢得5000筹码</t>
  </si>
  <si>
    <t>攀登高峰5</t>
  </si>
  <si>
    <t>累计赢得10000筹码</t>
  </si>
  <si>
    <t>攀登高峰6</t>
  </si>
  <si>
    <t>累计赢得30000筹码</t>
  </si>
  <si>
    <t>一击必杀1</t>
  </si>
  <si>
    <t>以”两对“牌型赢得一场牌局</t>
  </si>
  <si>
    <t>一击必杀2</t>
  </si>
  <si>
    <t>以”三条“牌型赢得一场牌局</t>
  </si>
  <si>
    <t>一击必杀3</t>
  </si>
  <si>
    <t>以”顺子“牌型赢得一场牌局</t>
  </si>
  <si>
    <t>一击必杀4</t>
  </si>
  <si>
    <t>以”葫芦“牌型赢得一场牌局</t>
  </si>
  <si>
    <t>一击必杀5</t>
  </si>
  <si>
    <t>以”同花“牌型赢得一场牌局</t>
  </si>
  <si>
    <t>一击必杀6</t>
  </si>
  <si>
    <t>以”四条“牌型赢得一场牌局</t>
  </si>
  <si>
    <t>一击必杀7</t>
  </si>
  <si>
    <t>以”同花顺“牌型赢得一场牌局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</si>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</sst>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0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/>
    <xf numFmtId="0" fontId="0" fillId="2" borderId="0" xfId="0" applyFill="1"/>
    <xf numFmtId="0" fontId="0" fillId="2" borderId="0" xfId="0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2"/>
  <sheetViews>
    <sheetView tabSelected="1" zoomScale="130" zoomScaleNormal="130" topLeftCell="A5" workbookViewId="0">
      <selection activeCell="H33" sqref="H33"/>
    </sheetView>
  </sheetViews>
  <sheetFormatPr defaultColWidth="9" defaultRowHeight="14.25"/>
  <cols>
    <col min="1" max="1" width="9" style="1"/>
    <col min="2" max="2" width="10.875" style="1" customWidth="1"/>
    <col min="3" max="3" width="11.5333333333333" style="4" customWidth="1"/>
    <col min="4" max="5" width="9.475" style="1" customWidth="1"/>
    <col min="6" max="6" width="2.3" style="1" customWidth="1"/>
    <col min="7" max="7" width="17.5" style="1" customWidth="1"/>
    <col min="8" max="8" width="9" style="1"/>
    <col min="9" max="9" width="13.3583333333333" customWidth="1"/>
    <col min="10" max="11" width="9" style="1"/>
  </cols>
  <sheetData>
    <row r="1" spans="1:11">
      <c r="A1" s="3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7</v>
      </c>
      <c r="K1" s="3" t="s">
        <v>9</v>
      </c>
    </row>
    <row r="2" spans="1:11">
      <c r="A2" s="1">
        <v>1</v>
      </c>
      <c r="B2" s="1" t="s">
        <v>10</v>
      </c>
      <c r="C2" s="4" t="s">
        <v>11</v>
      </c>
      <c r="D2" s="1" t="s">
        <v>12</v>
      </c>
      <c r="E2" s="1">
        <v>0</v>
      </c>
      <c r="F2" t="s">
        <v>13</v>
      </c>
      <c r="K2" s="1">
        <v>0</v>
      </c>
    </row>
    <row r="3" spans="1:11">
      <c r="A3" s="1">
        <v>2</v>
      </c>
      <c r="B3" s="1" t="s">
        <v>14</v>
      </c>
      <c r="C3" s="4" t="s">
        <v>15</v>
      </c>
      <c r="D3" s="1">
        <v>1</v>
      </c>
      <c r="E3" s="1">
        <v>1</v>
      </c>
      <c r="F3" t="s">
        <v>16</v>
      </c>
      <c r="K3" s="1">
        <v>0</v>
      </c>
    </row>
    <row r="4" spans="1:11">
      <c r="A4" s="1">
        <v>3</v>
      </c>
      <c r="B4" s="1" t="s">
        <v>17</v>
      </c>
      <c r="C4" s="4" t="s">
        <v>18</v>
      </c>
      <c r="D4" s="1">
        <v>3</v>
      </c>
      <c r="E4" s="1">
        <v>3</v>
      </c>
      <c r="F4" t="s">
        <v>19</v>
      </c>
      <c r="G4" s="1" t="s">
        <v>20</v>
      </c>
      <c r="H4" s="1">
        <v>3</v>
      </c>
      <c r="K4" s="1">
        <v>0</v>
      </c>
    </row>
    <row r="5" spans="1:11">
      <c r="A5" s="1">
        <v>4</v>
      </c>
      <c r="B5" s="1" t="s">
        <v>21</v>
      </c>
      <c r="C5" s="4" t="s">
        <v>22</v>
      </c>
      <c r="D5" s="1">
        <v>3</v>
      </c>
      <c r="E5" s="1">
        <v>4</v>
      </c>
      <c r="F5" t="s">
        <v>23</v>
      </c>
      <c r="K5" s="1">
        <v>0</v>
      </c>
    </row>
    <row r="6" spans="1:11">
      <c r="A6" s="1">
        <v>5</v>
      </c>
      <c r="B6" s="1" t="s">
        <v>24</v>
      </c>
      <c r="C6" s="4" t="s">
        <v>25</v>
      </c>
      <c r="D6" s="1">
        <v>2</v>
      </c>
      <c r="E6" s="1">
        <v>2</v>
      </c>
      <c r="F6" t="s">
        <v>26</v>
      </c>
      <c r="K6" s="1">
        <v>0</v>
      </c>
    </row>
    <row r="7" spans="1:11">
      <c r="A7" s="1">
        <v>6</v>
      </c>
      <c r="B7" s="1" t="s">
        <v>27</v>
      </c>
      <c r="C7" s="4" t="s">
        <v>28</v>
      </c>
      <c r="D7" s="1">
        <v>2</v>
      </c>
      <c r="E7" s="1">
        <v>2</v>
      </c>
      <c r="F7" s="6" t="s">
        <v>29</v>
      </c>
      <c r="G7" s="1" t="s">
        <v>30</v>
      </c>
      <c r="H7" s="1">
        <v>0.35</v>
      </c>
      <c r="K7" s="1">
        <v>0</v>
      </c>
    </row>
    <row r="8" spans="1:11">
      <c r="A8" s="1">
        <v>7</v>
      </c>
      <c r="B8" s="7" t="s">
        <v>31</v>
      </c>
      <c r="C8" s="8" t="s">
        <v>32</v>
      </c>
      <c r="D8" s="7">
        <v>2</v>
      </c>
      <c r="E8" s="7">
        <v>2</v>
      </c>
      <c r="F8" s="9" t="s">
        <v>33</v>
      </c>
      <c r="K8" s="1">
        <v>100</v>
      </c>
    </row>
    <row r="9" spans="1:11">
      <c r="A9" s="1">
        <v>8</v>
      </c>
      <c r="B9" s="10" t="s">
        <v>34</v>
      </c>
      <c r="C9" s="11" t="s">
        <v>35</v>
      </c>
      <c r="D9" s="10">
        <v>2</v>
      </c>
      <c r="E9" s="10">
        <v>3</v>
      </c>
      <c r="F9" s="12" t="s">
        <v>36</v>
      </c>
      <c r="G9" s="1" t="s">
        <v>37</v>
      </c>
      <c r="H9" s="1">
        <v>2</v>
      </c>
      <c r="K9" s="1">
        <v>100</v>
      </c>
    </row>
    <row r="10" spans="1:11">
      <c r="A10" s="1">
        <v>9</v>
      </c>
      <c r="B10" s="7" t="s">
        <v>38</v>
      </c>
      <c r="C10" s="8" t="s">
        <v>39</v>
      </c>
      <c r="D10" s="7">
        <v>3</v>
      </c>
      <c r="E10" s="7">
        <v>3</v>
      </c>
      <c r="F10" s="6" t="s">
        <v>40</v>
      </c>
      <c r="G10" s="1" t="s">
        <v>41</v>
      </c>
      <c r="H10" s="1">
        <v>3</v>
      </c>
      <c r="K10" s="1">
        <v>100</v>
      </c>
    </row>
    <row r="11" spans="1:11">
      <c r="A11" s="1">
        <v>10</v>
      </c>
      <c r="B11" s="7" t="s">
        <v>42</v>
      </c>
      <c r="C11" s="8" t="s">
        <v>43</v>
      </c>
      <c r="D11" s="7">
        <v>1</v>
      </c>
      <c r="E11" s="7">
        <v>3</v>
      </c>
      <c r="F11" s="2" t="s">
        <v>44</v>
      </c>
      <c r="K11" s="1">
        <v>100</v>
      </c>
    </row>
    <row r="12" spans="1:11">
      <c r="A12" s="1">
        <v>11</v>
      </c>
      <c r="B12" s="1" t="s">
        <v>45</v>
      </c>
      <c r="C12" s="11" t="s">
        <v>46</v>
      </c>
      <c r="D12" s="10">
        <v>2</v>
      </c>
      <c r="E12" s="10">
        <v>3</v>
      </c>
      <c r="F12" t="s">
        <v>47</v>
      </c>
      <c r="G12" s="1" t="s">
        <v>48</v>
      </c>
      <c r="H12" s="1">
        <v>3</v>
      </c>
      <c r="K12" s="1">
        <v>200</v>
      </c>
    </row>
    <row r="13" spans="1:11">
      <c r="A13" s="1">
        <v>12</v>
      </c>
      <c r="B13" s="7" t="s">
        <v>49</v>
      </c>
      <c r="C13" s="8" t="s">
        <v>50</v>
      </c>
      <c r="D13" s="7">
        <v>3</v>
      </c>
      <c r="E13" s="7">
        <v>4</v>
      </c>
      <c r="F13" s="9" t="s">
        <v>51</v>
      </c>
      <c r="K13" s="1">
        <v>200</v>
      </c>
    </row>
    <row r="14" spans="1:11">
      <c r="A14" s="1">
        <v>13</v>
      </c>
      <c r="B14" s="7" t="s">
        <v>52</v>
      </c>
      <c r="C14" s="8" t="s">
        <v>53</v>
      </c>
      <c r="D14" s="7">
        <v>0</v>
      </c>
      <c r="E14" s="7">
        <v>2</v>
      </c>
      <c r="F14" s="2" t="s">
        <v>54</v>
      </c>
      <c r="K14" s="1">
        <v>200</v>
      </c>
    </row>
    <row r="15" spans="1:11">
      <c r="A15" s="1">
        <v>14</v>
      </c>
      <c r="B15" s="7" t="s">
        <v>55</v>
      </c>
      <c r="C15" s="8" t="s">
        <v>56</v>
      </c>
      <c r="D15" s="7">
        <v>0</v>
      </c>
      <c r="E15" s="7">
        <v>3</v>
      </c>
      <c r="F15" s="2" t="s">
        <v>57</v>
      </c>
      <c r="G15" s="1" t="s">
        <v>58</v>
      </c>
      <c r="H15" s="1">
        <v>3</v>
      </c>
      <c r="K15" s="1">
        <v>300</v>
      </c>
    </row>
    <row r="16" spans="1:11">
      <c r="A16" s="1">
        <v>15</v>
      </c>
      <c r="B16" s="1" t="s">
        <v>59</v>
      </c>
      <c r="C16" s="8" t="s">
        <v>60</v>
      </c>
      <c r="D16" s="7">
        <v>4</v>
      </c>
      <c r="E16" s="7">
        <v>5</v>
      </c>
      <c r="F16" t="s">
        <v>61</v>
      </c>
      <c r="K16" s="1">
        <v>300</v>
      </c>
    </row>
    <row r="17" spans="1:20">
      <c r="A17" s="1">
        <v>16</v>
      </c>
      <c r="B17" s="1" t="s">
        <v>62</v>
      </c>
      <c r="C17" s="4" t="s">
        <v>63</v>
      </c>
      <c r="D17" s="1">
        <v>4</v>
      </c>
      <c r="E17" s="1">
        <v>4</v>
      </c>
      <c r="F17" t="s">
        <v>64</v>
      </c>
      <c r="K17" s="1">
        <v>300</v>
      </c>
    </row>
    <row r="18" spans="1:20">
      <c r="A18" s="1">
        <v>17</v>
      </c>
      <c r="B18" s="7" t="s">
        <v>65</v>
      </c>
      <c r="C18" s="8" t="s">
        <v>66</v>
      </c>
      <c r="D18" s="7">
        <v>5</v>
      </c>
      <c r="E18" s="7">
        <v>4</v>
      </c>
      <c r="F18" s="9" t="s">
        <v>67</v>
      </c>
      <c r="G18" s="1" t="s">
        <v>3</v>
      </c>
      <c r="H18" s="1">
        <v>2</v>
      </c>
      <c r="K18" s="1">
        <v>300</v>
      </c>
    </row>
    <row r="19" spans="1:20">
      <c r="A19" s="1">
        <v>18</v>
      </c>
      <c r="B19" s="10" t="s">
        <v>68</v>
      </c>
      <c r="C19" s="11" t="s">
        <v>69</v>
      </c>
      <c r="D19" s="10">
        <v>5</v>
      </c>
      <c r="E19" s="10">
        <v>4</v>
      </c>
      <c r="F19" s="13" t="s">
        <v>70</v>
      </c>
      <c r="K19" s="1">
        <v>300</v>
      </c>
    </row>
    <row r="20" spans="1:20">
      <c r="A20" s="1">
        <v>19</v>
      </c>
      <c r="B20" s="1" t="s">
        <v>71</v>
      </c>
      <c r="C20" s="8" t="s">
        <v>72</v>
      </c>
      <c r="D20" s="7">
        <v>7</v>
      </c>
      <c r="E20" s="7">
        <v>5</v>
      </c>
      <c r="F20" t="s">
        <v>73</v>
      </c>
      <c r="K20" s="1">
        <v>600</v>
      </c>
    </row>
    <row r="21" spans="1:20">
      <c r="A21" s="1">
        <v>20</v>
      </c>
      <c r="B21" s="1" t="s">
        <v>74</v>
      </c>
      <c r="C21" s="8" t="s">
        <v>75</v>
      </c>
      <c r="D21" s="7">
        <v>9</v>
      </c>
      <c r="E21" s="7">
        <v>7</v>
      </c>
      <c r="F21" t="s">
        <v>76</v>
      </c>
      <c r="K21" s="1">
        <v>600</v>
      </c>
    </row>
    <row r="24" spans="1:20">
      <c r="Q24">
        <v>6</v>
      </c>
      <c r="R24">
        <v>8</v>
      </c>
      <c r="S24">
        <v>10</v>
      </c>
      <c r="T24">
        <v>12</v>
      </c>
    </row>
    <row r="25" spans="1:20">
      <c r="A25" s="3" t="s">
        <v>0</v>
      </c>
      <c r="B25" s="3" t="s">
        <v>77</v>
      </c>
      <c r="C25" s="5"/>
      <c r="D25" s="3" t="s">
        <v>78</v>
      </c>
      <c r="G25" s="3" t="s">
        <v>6</v>
      </c>
      <c r="H25" s="3" t="s">
        <v>7</v>
      </c>
      <c r="I25" s="3" t="s">
        <v>8</v>
      </c>
      <c r="J25" s="3" t="s">
        <v>7</v>
      </c>
      <c r="K25" s="3" t="s">
        <v>9</v>
      </c>
    </row>
    <row r="26" spans="1:20">
      <c r="A26" s="1">
        <v>1</v>
      </c>
      <c r="B26" s="1" t="s">
        <v>79</v>
      </c>
      <c r="C26" s="4" t="s">
        <v>80</v>
      </c>
      <c r="D26" s="2" t="s">
        <v>81</v>
      </c>
      <c r="G26" s="1" t="s">
        <v>82</v>
      </c>
      <c r="H26" s="1">
        <v>5</v>
      </c>
      <c r="K26" s="1">
        <v>0</v>
      </c>
    </row>
    <row r="27" spans="1:20">
      <c r="A27" s="1">
        <v>2</v>
      </c>
      <c r="B27" s="1" t="s">
        <v>83</v>
      </c>
      <c r="C27" s="4" t="s">
        <v>84</v>
      </c>
      <c r="D27" s="2" t="s">
        <v>85</v>
      </c>
      <c r="G27" s="1" t="s">
        <v>48</v>
      </c>
      <c r="H27" s="1">
        <v>1</v>
      </c>
      <c r="K27" s="1">
        <v>0</v>
      </c>
      <c r="O27">
        <v>1</v>
      </c>
      <c r="P27">
        <v>30</v>
      </c>
      <c r="Q27">
        <f>P27*$Q$24</f>
        <v>180</v>
      </c>
      <c r="R27">
        <f>P27*$R$24</f>
        <v>240</v>
      </c>
      <c r="S27">
        <f>P27*$S$24</f>
        <v>300</v>
      </c>
      <c r="T27">
        <f>P27*$T$24</f>
        <v>360</v>
      </c>
    </row>
    <row r="28" spans="1:20">
      <c r="A28" s="1">
        <v>3</v>
      </c>
      <c r="B28" s="1" t="s">
        <v>86</v>
      </c>
      <c r="C28" s="4" t="s">
        <v>87</v>
      </c>
      <c r="D28" s="2" t="s">
        <v>88</v>
      </c>
      <c r="G28" s="1" t="s">
        <v>48</v>
      </c>
      <c r="H28" s="1">
        <v>-1</v>
      </c>
      <c r="I28" s="1" t="s">
        <v>82</v>
      </c>
      <c r="J28" s="1">
        <v>3</v>
      </c>
      <c r="K28" s="1">
        <v>0</v>
      </c>
      <c r="O28">
        <v>2</v>
      </c>
      <c r="P28">
        <v>20</v>
      </c>
      <c r="Q28">
        <f>P28*$Q$24</f>
        <v>120</v>
      </c>
      <c r="R28">
        <f>P28*$R$24</f>
        <v>160</v>
      </c>
      <c r="S28">
        <f>P28*$S$24</f>
        <v>200</v>
      </c>
      <c r="T28">
        <f>P28*$T$24</f>
        <v>240</v>
      </c>
    </row>
    <row r="29" spans="1:20">
      <c r="A29" s="1">
        <v>4</v>
      </c>
      <c r="B29" s="1" t="s">
        <v>89</v>
      </c>
      <c r="C29" s="4" t="s">
        <v>90</v>
      </c>
      <c r="D29" s="2" t="s">
        <v>91</v>
      </c>
      <c r="G29" s="1" t="s">
        <v>92</v>
      </c>
      <c r="H29" s="1">
        <v>-0.7</v>
      </c>
      <c r="K29" s="1">
        <v>0</v>
      </c>
      <c r="O29">
        <v>3</v>
      </c>
      <c r="P29">
        <v>15</v>
      </c>
      <c r="Q29">
        <f>P29*$Q$24</f>
        <v>90</v>
      </c>
      <c r="R29">
        <f>P29*$R$24</f>
        <v>120</v>
      </c>
      <c r="S29">
        <f>P29*$S$24</f>
        <v>150</v>
      </c>
      <c r="T29">
        <f>P29*$T$24</f>
        <v>180</v>
      </c>
    </row>
    <row r="30" spans="1:20">
      <c r="A30" s="1">
        <v>5</v>
      </c>
      <c r="B30" s="10" t="s">
        <v>93</v>
      </c>
      <c r="C30" s="11" t="s">
        <v>94</v>
      </c>
      <c r="D30" s="13" t="s">
        <v>95</v>
      </c>
      <c r="E30" s="10"/>
      <c r="F30" s="10"/>
      <c r="G30" s="1" t="s">
        <v>48</v>
      </c>
      <c r="H30" s="1">
        <v>1</v>
      </c>
      <c r="K30" s="10">
        <v>400</v>
      </c>
    </row>
    <row r="31" spans="1:20">
      <c r="A31" s="1">
        <v>6</v>
      </c>
      <c r="B31" s="7" t="s">
        <v>96</v>
      </c>
      <c r="C31" s="4" t="s">
        <v>97</v>
      </c>
      <c r="D31" s="2" t="s">
        <v>98</v>
      </c>
      <c r="G31" s="1" t="s">
        <v>82</v>
      </c>
      <c r="H31" s="1">
        <v>-6</v>
      </c>
      <c r="I31" s="1" t="s">
        <v>48</v>
      </c>
      <c r="J31" s="1">
        <v>-2</v>
      </c>
      <c r="K31" s="1">
        <v>400</v>
      </c>
      <c r="O31">
        <v>4</v>
      </c>
      <c r="P31">
        <v>10</v>
      </c>
      <c r="Q31">
        <f>P31*$Q$24</f>
        <v>60</v>
      </c>
      <c r="R31">
        <f>P31*$R$24</f>
        <v>80</v>
      </c>
      <c r="S31">
        <f>P31*$S$24</f>
        <v>100</v>
      </c>
      <c r="T31">
        <f>P31*$T$24</f>
        <v>120</v>
      </c>
    </row>
    <row r="32" spans="1:20">
      <c r="A32" s="1">
        <v>7</v>
      </c>
      <c r="B32" s="1" t="s">
        <v>99</v>
      </c>
      <c r="C32" s="8" t="s">
        <v>100</v>
      </c>
      <c r="D32" s="9" t="s">
        <v>101</v>
      </c>
      <c r="G32" s="1" t="s">
        <v>102</v>
      </c>
      <c r="H32" s="1">
        <v>1</v>
      </c>
      <c r="K32" s="1">
        <v>400</v>
      </c>
      <c r="O32">
        <v>5</v>
      </c>
      <c r="P32">
        <v>5</v>
      </c>
      <c r="Q32">
        <f>P32*$Q$24</f>
        <v>30</v>
      </c>
      <c r="R32">
        <f>P32*$R$24</f>
        <v>40</v>
      </c>
      <c r="S32">
        <f>P32*$S$24</f>
        <v>50</v>
      </c>
      <c r="T32">
        <f>P32*$T$24</f>
        <v>60</v>
      </c>
    </row>
    <row r="33" spans="1:20">
      <c r="A33" s="1">
        <v>8</v>
      </c>
      <c r="B33" s="1" t="s">
        <v>103</v>
      </c>
      <c r="C33" s="4" t="s">
        <v>104</v>
      </c>
      <c r="D33" s="2" t="s">
        <v>105</v>
      </c>
      <c r="G33" s="1" t="s">
        <v>3</v>
      </c>
      <c r="H33" s="1">
        <v>-1</v>
      </c>
      <c r="K33" s="1">
        <v>400</v>
      </c>
      <c r="O33">
        <v>6</v>
      </c>
      <c r="P33">
        <v>0</v>
      </c>
      <c r="Q33">
        <f>P33*$Q$24</f>
        <v>0</v>
      </c>
      <c r="R33">
        <f>P33*$R$24</f>
        <v>0</v>
      </c>
      <c r="S33">
        <f>P33*$S$24</f>
        <v>0</v>
      </c>
      <c r="T33">
        <f>P33*$T$24</f>
        <v>0</v>
      </c>
    </row>
    <row r="34" spans="1:20">
      <c r="A34" s="1">
        <v>9</v>
      </c>
      <c r="B34" s="1" t="s">
        <v>106</v>
      </c>
      <c r="C34" s="4" t="s">
        <v>107</v>
      </c>
      <c r="D34" s="2" t="s">
        <v>108</v>
      </c>
      <c r="K34" s="1">
        <v>400</v>
      </c>
    </row>
    <row r="35" spans="1:20">
      <c r="A35" s="1">
        <v>10</v>
      </c>
      <c r="B35" s="1" t="s">
        <v>109</v>
      </c>
      <c r="C35" s="4" t="s">
        <v>110</v>
      </c>
      <c r="D35" s="2" t="s">
        <v>111</v>
      </c>
      <c r="K35" s="1">
        <v>400</v>
      </c>
    </row>
    <row r="36" spans="1:20">
      <c r="A36" s="1">
        <v>11</v>
      </c>
      <c r="B36" s="7" t="s">
        <v>112</v>
      </c>
      <c r="C36" s="4" t="s">
        <v>113</v>
      </c>
      <c r="D36" s="2" t="s">
        <v>114</v>
      </c>
      <c r="K36" s="1">
        <v>400</v>
      </c>
    </row>
    <row r="37" spans="1:20">
      <c r="A37" s="1">
        <v>12</v>
      </c>
      <c r="B37" s="7" t="s">
        <v>115</v>
      </c>
      <c r="C37" s="4" t="s">
        <v>116</v>
      </c>
      <c r="D37" s="2" t="s">
        <v>117</v>
      </c>
      <c r="G37" s="1" t="s">
        <v>20</v>
      </c>
      <c r="H37" s="1">
        <v>60</v>
      </c>
      <c r="K37" s="1">
        <v>400</v>
      </c>
    </row>
    <row r="38" spans="1:20">
      <c r="A38" s="1">
        <v>13</v>
      </c>
      <c r="B38" s="1" t="s">
        <v>118</v>
      </c>
      <c r="C38" s="4" t="s">
        <v>119</v>
      </c>
      <c r="D38" s="2" t="s">
        <v>120</v>
      </c>
      <c r="K38" s="1">
        <v>400</v>
      </c>
    </row>
    <row r="39" spans="1:20">
      <c r="A39" s="1">
        <v>14</v>
      </c>
      <c r="B39" s="1" t="s">
        <v>121</v>
      </c>
      <c r="C39" s="8" t="s">
        <v>122</v>
      </c>
      <c r="D39" s="9" t="s">
        <v>123</v>
      </c>
      <c r="G39" s="1" t="s">
        <v>124</v>
      </c>
      <c r="H39" s="1">
        <v>0.25</v>
      </c>
      <c r="K39" s="1">
        <v>400</v>
      </c>
    </row>
    <row r="40" spans="1:20">
      <c r="A40" s="1">
        <v>15</v>
      </c>
      <c r="B40" s="10" t="s">
        <v>125</v>
      </c>
      <c r="C40" s="11" t="s">
        <v>126</v>
      </c>
      <c r="D40" s="13" t="s">
        <v>127</v>
      </c>
      <c r="E40" s="10"/>
      <c r="F40" s="10"/>
      <c r="G40" s="1" t="s">
        <v>37</v>
      </c>
      <c r="H40" s="1">
        <v>3</v>
      </c>
      <c r="K40" s="10">
        <v>400</v>
      </c>
    </row>
    <row r="41" spans="1:20">
      <c r="A41" s="1">
        <v>16</v>
      </c>
      <c r="B41" s="10" t="s">
        <v>128</v>
      </c>
      <c r="C41" s="11" t="s">
        <v>129</v>
      </c>
      <c r="D41" s="13" t="s">
        <v>130</v>
      </c>
      <c r="E41" s="10"/>
      <c r="F41" s="10"/>
      <c r="G41" s="1" t="s">
        <v>3</v>
      </c>
      <c r="H41" s="1">
        <v>-2</v>
      </c>
      <c r="K41" s="10">
        <v>400</v>
      </c>
    </row>
    <row r="42" spans="1:20">
      <c r="A42" s="1">
        <v>17</v>
      </c>
      <c r="B42" s="10" t="s">
        <v>131</v>
      </c>
      <c r="C42" s="11" t="s">
        <v>132</v>
      </c>
      <c r="D42" s="13" t="s">
        <v>133</v>
      </c>
      <c r="E42" s="10"/>
      <c r="F42" s="10"/>
      <c r="G42" s="1" t="s">
        <v>58</v>
      </c>
      <c r="H42" s="1">
        <v>2</v>
      </c>
      <c r="K42" s="10">
        <v>400</v>
      </c>
    </row>
    <row r="43" spans="1:20">
      <c r="A43" s="1">
        <v>18</v>
      </c>
      <c r="B43" s="1" t="s">
        <v>134</v>
      </c>
      <c r="C43" s="4" t="s">
        <v>135</v>
      </c>
      <c r="D43" s="2" t="s">
        <v>136</v>
      </c>
      <c r="K43" s="1">
        <v>400</v>
      </c>
    </row>
    <row r="44" spans="1:20">
      <c r="A44" s="1">
        <v>19</v>
      </c>
      <c r="B44" s="1" t="s">
        <v>137</v>
      </c>
      <c r="C44" s="4" t="s">
        <v>138</v>
      </c>
      <c r="D44" s="2" t="s">
        <v>139</v>
      </c>
      <c r="K44" s="1">
        <v>400</v>
      </c>
    </row>
    <row r="45" spans="1:20">
      <c r="A45" s="1">
        <v>20</v>
      </c>
      <c r="B45" s="1" t="s">
        <v>140</v>
      </c>
      <c r="C45" s="4" t="s">
        <v>141</v>
      </c>
      <c r="D45" s="2" t="s">
        <v>142</v>
      </c>
      <c r="G45" s="1" t="s">
        <v>3</v>
      </c>
      <c r="H45" s="1">
        <v>-2</v>
      </c>
      <c r="K45" s="1">
        <v>400</v>
      </c>
    </row>
    <row r="50" spans="1:6">
      <c r="D50" s="2"/>
    </row>
    <row r="52" spans="1:6">
      <c r="A52" s="3" t="s">
        <v>0</v>
      </c>
      <c r="B52" s="3" t="s">
        <v>143</v>
      </c>
      <c r="C52" s="5"/>
      <c r="D52" s="3" t="s">
        <v>144</v>
      </c>
      <c r="E52" s="3" t="s">
        <v>145</v>
      </c>
    </row>
    <row r="53" spans="1:6">
      <c r="A53" s="1">
        <v>1</v>
      </c>
      <c r="B53" s="1">
        <v>3000</v>
      </c>
      <c r="D53" s="1">
        <v>30</v>
      </c>
      <c r="E53" s="1">
        <v>30</v>
      </c>
      <c r="F53" s="1">
        <f t="shared" ref="F53:F60" si="0">E53/D53</f>
        <v>1</v>
      </c>
    </row>
    <row r="54" spans="1:6">
      <c r="A54" s="1">
        <v>2</v>
      </c>
      <c r="B54" s="1">
        <v>6000</v>
      </c>
      <c r="D54" s="1">
        <v>60</v>
      </c>
      <c r="E54" s="1">
        <v>55</v>
      </c>
      <c r="F54" s="1">
        <f t="shared" si="0"/>
        <v>0.916666666666667</v>
      </c>
    </row>
    <row r="55" spans="1:6">
      <c r="A55" s="1">
        <v>3</v>
      </c>
      <c r="B55" s="1">
        <v>10000</v>
      </c>
      <c r="D55" s="1">
        <v>100</v>
      </c>
      <c r="E55" s="1">
        <v>90</v>
      </c>
      <c r="F55" s="1">
        <f t="shared" si="0"/>
        <v>0.9</v>
      </c>
    </row>
    <row r="56" spans="1:6">
      <c r="A56" s="1">
        <v>4</v>
      </c>
      <c r="B56" s="1">
        <v>30000</v>
      </c>
      <c r="D56" s="1">
        <v>300</v>
      </c>
      <c r="E56" s="1">
        <v>260</v>
      </c>
      <c r="F56" s="1">
        <f t="shared" si="0"/>
        <v>0.866666666666667</v>
      </c>
    </row>
    <row r="57" spans="1:6">
      <c r="A57" s="1">
        <v>5</v>
      </c>
      <c r="B57" s="1">
        <v>50000</v>
      </c>
      <c r="D57" s="1">
        <v>500</v>
      </c>
      <c r="E57" s="1">
        <v>420</v>
      </c>
      <c r="F57" s="1">
        <f t="shared" si="0"/>
        <v>0.84</v>
      </c>
    </row>
    <row r="58" spans="1:6">
      <c r="A58" s="1">
        <v>6</v>
      </c>
      <c r="B58" s="1">
        <v>100000</v>
      </c>
      <c r="D58" s="1">
        <v>1000</v>
      </c>
      <c r="E58" s="1">
        <v>800</v>
      </c>
      <c r="F58" s="1">
        <f t="shared" si="0"/>
        <v>0.8</v>
      </c>
    </row>
    <row r="59" spans="1:6">
      <c r="A59" s="1">
        <v>7</v>
      </c>
      <c r="B59" s="1">
        <v>300000</v>
      </c>
      <c r="D59" s="1">
        <v>3000</v>
      </c>
      <c r="E59" s="1">
        <v>2300</v>
      </c>
      <c r="F59" s="1">
        <f t="shared" si="0"/>
        <v>0.766666666666667</v>
      </c>
    </row>
    <row r="60" spans="1:6">
      <c r="A60" s="1">
        <v>8</v>
      </c>
      <c r="B60" s="1">
        <v>500000</v>
      </c>
      <c r="D60" s="1">
        <v>5000</v>
      </c>
      <c r="E60" s="1">
        <v>3600</v>
      </c>
      <c r="F60" s="1">
        <f t="shared" si="0"/>
        <v>0.72</v>
      </c>
    </row>
    <row r="62" spans="1:6">
      <c r="A62" s="3" t="s">
        <v>0</v>
      </c>
      <c r="B62" s="3" t="s">
        <v>144</v>
      </c>
      <c r="C62" s="5"/>
      <c r="D62" s="3" t="s">
        <v>146</v>
      </c>
      <c r="E62" s="3"/>
    </row>
    <row r="63" spans="1:6">
      <c r="A63" s="1">
        <v>1</v>
      </c>
      <c r="B63" s="1">
        <v>300</v>
      </c>
      <c r="D63" s="1">
        <v>1</v>
      </c>
      <c r="F63" s="1">
        <f t="shared" ref="F63:F70" si="1">B63/D63</f>
        <v>300</v>
      </c>
    </row>
    <row r="64" spans="1:6">
      <c r="A64" s="1">
        <v>2</v>
      </c>
      <c r="B64" s="1">
        <v>630</v>
      </c>
      <c r="D64" s="1">
        <v>2</v>
      </c>
      <c r="F64" s="1">
        <f t="shared" si="1"/>
        <v>315</v>
      </c>
    </row>
    <row r="65" spans="1:8">
      <c r="A65" s="1">
        <v>3</v>
      </c>
      <c r="B65" s="1">
        <v>1650</v>
      </c>
      <c r="D65" s="1">
        <v>5</v>
      </c>
      <c r="F65" s="1">
        <f t="shared" si="1"/>
        <v>330</v>
      </c>
    </row>
    <row r="66" spans="1:8">
      <c r="A66" s="1">
        <v>4</v>
      </c>
      <c r="B66" s="1">
        <v>3500</v>
      </c>
      <c r="D66" s="1">
        <v>10</v>
      </c>
      <c r="F66" s="1">
        <f t="shared" si="1"/>
        <v>350</v>
      </c>
    </row>
    <row r="67" spans="1:8">
      <c r="A67" s="1">
        <v>5</v>
      </c>
      <c r="B67" s="1">
        <v>5600</v>
      </c>
      <c r="D67" s="1">
        <v>15</v>
      </c>
      <c r="F67" s="1">
        <f t="shared" si="1"/>
        <v>373.333333333333</v>
      </c>
    </row>
    <row r="68" spans="1:8">
      <c r="A68" s="1">
        <v>6</v>
      </c>
      <c r="B68" s="1">
        <v>8000</v>
      </c>
      <c r="D68" s="1">
        <v>20</v>
      </c>
      <c r="F68" s="1">
        <f t="shared" si="1"/>
        <v>400</v>
      </c>
    </row>
    <row r="69" spans="1:8">
      <c r="A69" s="1">
        <v>7</v>
      </c>
      <c r="B69" s="1">
        <v>12600</v>
      </c>
      <c r="D69" s="1">
        <v>30</v>
      </c>
      <c r="F69" s="1">
        <f t="shared" si="1"/>
        <v>420</v>
      </c>
    </row>
    <row r="70" spans="1:8">
      <c r="A70" s="1">
        <v>8</v>
      </c>
      <c r="B70" s="1">
        <v>22000</v>
      </c>
      <c r="D70" s="1">
        <v>50</v>
      </c>
      <c r="F70" s="1">
        <f t="shared" si="1"/>
        <v>440</v>
      </c>
    </row>
    <row r="72" spans="1:8">
      <c r="A72" s="3" t="s">
        <v>0</v>
      </c>
      <c r="B72" s="3" t="s">
        <v>147</v>
      </c>
    </row>
    <row r="73" spans="1:8">
      <c r="A73" s="1">
        <v>1</v>
      </c>
      <c r="B73" s="2" t="s">
        <v>148</v>
      </c>
      <c r="E73" s="1">
        <v>4.99</v>
      </c>
      <c r="H73" s="1">
        <v>8100</v>
      </c>
    </row>
    <row r="74" spans="1:8">
      <c r="A74" s="1">
        <v>2</v>
      </c>
      <c r="B74" s="2" t="s">
        <v>149</v>
      </c>
      <c r="E74" s="1">
        <v>1.99</v>
      </c>
    </row>
    <row r="76" spans="1:8">
      <c r="A76" s="3" t="s">
        <v>0</v>
      </c>
      <c r="B76" s="3" t="s">
        <v>150</v>
      </c>
      <c r="C76" s="5"/>
      <c r="D76" s="3" t="s">
        <v>151</v>
      </c>
      <c r="E76" s="3" t="s">
        <v>152</v>
      </c>
      <c r="F76" s="3" t="s">
        <v>153</v>
      </c>
    </row>
    <row r="77" spans="1:8">
      <c r="A77" s="1">
        <v>1</v>
      </c>
      <c r="B77" t="s">
        <v>21</v>
      </c>
      <c r="D77" s="1" t="s">
        <v>154</v>
      </c>
      <c r="E77" s="1" t="s">
        <v>155</v>
      </c>
      <c r="F77" t="s">
        <v>83</v>
      </c>
    </row>
    <row r="78" spans="1:8">
      <c r="A78" s="1">
        <v>2</v>
      </c>
      <c r="B78" t="s">
        <v>24</v>
      </c>
      <c r="D78" s="1" t="s">
        <v>156</v>
      </c>
      <c r="E78" s="1" t="s">
        <v>155</v>
      </c>
      <c r="F78" t="s">
        <v>89</v>
      </c>
    </row>
    <row r="79" spans="1:8">
      <c r="A79" s="1">
        <v>3</v>
      </c>
      <c r="B79" t="s">
        <v>27</v>
      </c>
      <c r="D79" s="1" t="s">
        <v>156</v>
      </c>
      <c r="E79" s="1" t="s">
        <v>155</v>
      </c>
      <c r="F79" t="s">
        <v>121</v>
      </c>
    </row>
    <row r="80" spans="1:8">
      <c r="A80" s="1">
        <v>4</v>
      </c>
      <c r="B80" t="s">
        <v>62</v>
      </c>
      <c r="D80" s="1" t="s">
        <v>154</v>
      </c>
      <c r="E80" s="1" t="s">
        <v>157</v>
      </c>
      <c r="F80" t="s">
        <v>86</v>
      </c>
    </row>
    <row r="81" spans="1:6">
      <c r="A81" s="1">
        <v>5</v>
      </c>
      <c r="B81" t="s">
        <v>62</v>
      </c>
      <c r="D81" s="1" t="s">
        <v>158</v>
      </c>
      <c r="E81" s="1" t="s">
        <v>157</v>
      </c>
      <c r="F81" t="s">
        <v>134</v>
      </c>
    </row>
    <row r="82" spans="1:6">
      <c r="A82" s="1">
        <v>6</v>
      </c>
      <c r="B82" t="s">
        <v>71</v>
      </c>
      <c r="D82" s="1" t="s">
        <v>158</v>
      </c>
      <c r="E82" s="1" t="s">
        <v>157</v>
      </c>
      <c r="F82" t="s">
        <v>103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zoomScale="205" zoomScaleNormal="205" workbookViewId="0">
      <selection activeCell="E17" sqref="E17"/>
    </sheetView>
  </sheetViews>
  <sheetFormatPr defaultColWidth="9" defaultRowHeight="14.25" outlineLevelCol="3"/>
  <cols>
    <col min="1" max="1" width="9" style="1"/>
    <col min="2" max="2" width="11.3333333333333" style="1" customWidth="1"/>
    <col min="3" max="3" width="25.6083333333333" style="2" customWidth="1"/>
    <col min="4" max="4" width="9" style="1"/>
  </cols>
  <sheetData>
    <row r="1" spans="1:4">
      <c r="C1"/>
    </row>
    <row r="2" spans="1:4">
      <c r="A2" s="3" t="s">
        <v>0</v>
      </c>
      <c r="B2" s="3" t="s">
        <v>159</v>
      </c>
      <c r="C2" s="3" t="s">
        <v>160</v>
      </c>
      <c r="D2" s="3" t="s">
        <v>161</v>
      </c>
    </row>
    <row r="3" spans="1:4">
      <c r="A3" s="1">
        <v>1</v>
      </c>
      <c r="B3" s="1" t="s">
        <v>162</v>
      </c>
      <c r="C3" s="2" t="s">
        <v>163</v>
      </c>
      <c r="D3" s="1">
        <v>20</v>
      </c>
    </row>
    <row r="4" spans="1:4">
      <c r="A4" s="1">
        <v>2</v>
      </c>
      <c r="B4" s="1" t="s">
        <v>164</v>
      </c>
      <c r="C4" s="2" t="s">
        <v>165</v>
      </c>
      <c r="D4" s="1">
        <v>30</v>
      </c>
    </row>
    <row r="5" spans="1:4">
      <c r="A5" s="1">
        <v>3</v>
      </c>
      <c r="B5" s="1" t="s">
        <v>166</v>
      </c>
      <c r="C5" s="2" t="s">
        <v>167</v>
      </c>
      <c r="D5" s="1">
        <v>50</v>
      </c>
    </row>
    <row r="6" spans="1:4">
      <c r="A6" s="1">
        <v>4</v>
      </c>
      <c r="B6" s="1" t="s">
        <v>168</v>
      </c>
      <c r="C6" s="2" t="s">
        <v>169</v>
      </c>
      <c r="D6" s="1">
        <v>100</v>
      </c>
    </row>
    <row r="7" spans="1:4">
      <c r="A7" s="1">
        <v>5</v>
      </c>
      <c r="B7" s="1" t="s">
        <v>170</v>
      </c>
      <c r="C7" s="2" t="s">
        <v>171</v>
      </c>
      <c r="D7" s="1">
        <v>300</v>
      </c>
    </row>
    <row r="8" spans="1:4">
      <c r="A8" s="1">
        <v>6</v>
      </c>
      <c r="B8" s="1" t="s">
        <v>172</v>
      </c>
      <c r="C8" s="2" t="s">
        <v>173</v>
      </c>
      <c r="D8" s="1">
        <v>500</v>
      </c>
    </row>
    <row r="9" spans="1:4">
      <c r="A9" s="1">
        <v>7</v>
      </c>
      <c r="B9" s="1" t="s">
        <v>174</v>
      </c>
      <c r="C9" s="2" t="s">
        <v>175</v>
      </c>
      <c r="D9" s="1">
        <v>20</v>
      </c>
    </row>
    <row r="10" spans="1:4">
      <c r="A10" s="1">
        <v>8</v>
      </c>
      <c r="B10" s="1" t="s">
        <v>176</v>
      </c>
      <c r="C10" s="2" t="s">
        <v>177</v>
      </c>
      <c r="D10" s="1">
        <v>30</v>
      </c>
    </row>
    <row r="11" spans="1:4">
      <c r="A11" s="1">
        <v>9</v>
      </c>
      <c r="B11" s="1" t="s">
        <v>178</v>
      </c>
      <c r="C11" s="2" t="s">
        <v>179</v>
      </c>
      <c r="D11" s="1">
        <v>50</v>
      </c>
    </row>
    <row r="12" spans="1:4">
      <c r="A12" s="1">
        <v>10</v>
      </c>
      <c r="B12" s="1" t="s">
        <v>180</v>
      </c>
      <c r="C12" s="2" t="s">
        <v>181</v>
      </c>
      <c r="D12" s="1">
        <v>100</v>
      </c>
    </row>
    <row r="13" spans="1:4">
      <c r="A13" s="1">
        <v>11</v>
      </c>
      <c r="B13" s="1" t="s">
        <v>182</v>
      </c>
      <c r="C13" s="2" t="s">
        <v>183</v>
      </c>
      <c r="D13" s="1">
        <v>300</v>
      </c>
    </row>
    <row r="14" spans="1:4">
      <c r="A14" s="1">
        <v>12</v>
      </c>
      <c r="B14" s="1" t="s">
        <v>184</v>
      </c>
      <c r="C14" s="2" t="s">
        <v>185</v>
      </c>
      <c r="D14" s="1">
        <v>500</v>
      </c>
    </row>
    <row r="15" spans="1:4">
      <c r="A15" s="1">
        <v>13</v>
      </c>
      <c r="B15" s="1" t="s">
        <v>186</v>
      </c>
      <c r="C15" s="2" t="s">
        <v>187</v>
      </c>
      <c r="D15" s="1">
        <v>20</v>
      </c>
    </row>
    <row r="16" spans="1:4">
      <c r="A16" s="1">
        <v>14</v>
      </c>
      <c r="B16" s="1" t="s">
        <v>188</v>
      </c>
      <c r="C16" s="2" t="s">
        <v>189</v>
      </c>
      <c r="D16" s="1">
        <v>30</v>
      </c>
    </row>
    <row r="17" spans="1:4">
      <c r="A17" s="1">
        <v>15</v>
      </c>
      <c r="B17" s="1" t="s">
        <v>190</v>
      </c>
      <c r="C17" s="2" t="s">
        <v>191</v>
      </c>
      <c r="D17" s="1">
        <v>50</v>
      </c>
    </row>
    <row r="18" spans="1:4">
      <c r="A18" s="1">
        <v>16</v>
      </c>
      <c r="B18" s="1" t="s">
        <v>192</v>
      </c>
      <c r="C18" s="2" t="s">
        <v>193</v>
      </c>
      <c r="D18" s="1">
        <v>100</v>
      </c>
    </row>
    <row r="19" spans="1:4">
      <c r="A19" s="1">
        <v>17</v>
      </c>
      <c r="B19" s="1" t="s">
        <v>194</v>
      </c>
      <c r="C19" s="2" t="s">
        <v>195</v>
      </c>
      <c r="D19" s="1">
        <v>300</v>
      </c>
    </row>
    <row r="20" spans="1:4">
      <c r="A20" s="1">
        <v>18</v>
      </c>
      <c r="B20" s="1" t="s">
        <v>196</v>
      </c>
      <c r="C20" s="2" t="s">
        <v>197</v>
      </c>
      <c r="D20" s="1">
        <v>500</v>
      </c>
    </row>
    <row r="21" spans="1:4">
      <c r="A21" s="1">
        <v>19</v>
      </c>
      <c r="B21" s="1" t="s">
        <v>198</v>
      </c>
      <c r="C21" s="2" t="s">
        <v>199</v>
      </c>
      <c r="D21" s="1">
        <v>100</v>
      </c>
    </row>
    <row r="22" spans="1:4">
      <c r="A22" s="1">
        <v>20</v>
      </c>
      <c r="B22" s="1" t="s">
        <v>200</v>
      </c>
      <c r="C22" s="2" t="s">
        <v>201</v>
      </c>
      <c r="D22" s="1">
        <v>100</v>
      </c>
    </row>
    <row r="23" spans="1:4">
      <c r="A23" s="1">
        <v>21</v>
      </c>
      <c r="B23" s="1" t="s">
        <v>202</v>
      </c>
      <c r="C23" s="2" t="s">
        <v>203</v>
      </c>
      <c r="D23" s="1">
        <v>100</v>
      </c>
    </row>
    <row r="24" spans="1:4">
      <c r="A24" s="1">
        <v>22</v>
      </c>
      <c r="B24" s="1" t="s">
        <v>204</v>
      </c>
      <c r="C24" s="2" t="s">
        <v>205</v>
      </c>
      <c r="D24" s="1">
        <v>200</v>
      </c>
    </row>
    <row r="25" spans="1:4">
      <c r="A25" s="1">
        <v>23</v>
      </c>
      <c r="B25" s="1" t="s">
        <v>206</v>
      </c>
      <c r="C25" s="2" t="s">
        <v>207</v>
      </c>
      <c r="D25" s="1">
        <v>200</v>
      </c>
    </row>
    <row r="26" spans="1:4">
      <c r="A26" s="1">
        <v>24</v>
      </c>
      <c r="B26" s="1" t="s">
        <v>208</v>
      </c>
      <c r="C26" s="2" t="s">
        <v>209</v>
      </c>
      <c r="D26" s="1">
        <v>300</v>
      </c>
    </row>
    <row r="27" spans="1:4">
      <c r="A27" s="1">
        <v>25</v>
      </c>
      <c r="B27" s="1" t="s">
        <v>210</v>
      </c>
      <c r="C27" s="2" t="s">
        <v>211</v>
      </c>
      <c r="D27" s="1">
        <v>500</v>
      </c>
    </row>
    <row r="28" spans="1:4">
      <c r="A28" s="1" t="s">
        <v>212</v>
      </c>
      <c r="D28" s="1">
        <f>SUM(D3:D27)</f>
        <v>4500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Dabbido</dc:creator>
  <cp:lastModifiedBy>Dabbido Mugen</cp:lastModifiedBy>
  <dcterms:created xsi:type="dcterms:W3CDTF">2015-06-05T18:19:00Z</dcterms:created>
  <dcterms:modified xsi:type="dcterms:W3CDTF">2026-08-07T09:31:44Z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9898B7120A0845D38A7A9D4E0E1BF55F_12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